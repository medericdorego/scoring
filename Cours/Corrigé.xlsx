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4AEFC74B-44CC-48EE-A79F-CA8C721B1CFD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estimation" sheetId="1" r:id="rId1"/>
    <sheet name="confusions" sheetId="4" r:id="rId2"/>
    <sheet name="courbe_roc" sheetId="2" r:id="rId3"/>
  </sheets>
  <definedNames>
    <definedName name="solver_adj" localSheetId="0" hidden="1">estimation!$E$2:$H$2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estimation!$I$26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6" i="2"/>
  <c r="C13" i="4" l="1"/>
  <c r="C11" i="4"/>
  <c r="C12" i="4"/>
  <c r="C14" i="4"/>
  <c r="C10" i="4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6" i="2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L34" i="2"/>
  <c r="G21" i="2"/>
  <c r="H21" i="2" s="1"/>
  <c r="G17" i="2"/>
  <c r="H17" i="2" s="1"/>
  <c r="G16" i="2"/>
  <c r="H16" i="2" s="1"/>
  <c r="G15" i="2"/>
  <c r="H15" i="2" s="1"/>
  <c r="G23" i="2"/>
  <c r="H23" i="2" s="1"/>
  <c r="G18" i="2"/>
  <c r="H18" i="2" s="1"/>
  <c r="G10" i="2"/>
  <c r="H10" i="2" s="1"/>
  <c r="G20" i="2"/>
  <c r="H20" i="2" s="1"/>
  <c r="G19" i="2"/>
  <c r="H19" i="2" s="1"/>
  <c r="G8" i="2"/>
  <c r="H8" i="2" s="1"/>
  <c r="G24" i="2"/>
  <c r="H24" i="2" s="1"/>
  <c r="G13" i="2"/>
  <c r="H13" i="2" s="1"/>
  <c r="G22" i="2"/>
  <c r="H22" i="2" s="1"/>
  <c r="G25" i="2"/>
  <c r="H25" i="2" s="1"/>
  <c r="G7" i="2"/>
  <c r="H7" i="2" s="1"/>
  <c r="G14" i="2"/>
  <c r="H14" i="2" s="1"/>
  <c r="G12" i="2"/>
  <c r="H12" i="2" s="1"/>
  <c r="G11" i="2"/>
  <c r="H11" i="2" s="1"/>
  <c r="G9" i="2"/>
  <c r="H9" i="2" s="1"/>
  <c r="G6" i="2"/>
  <c r="H6" i="2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5" i="1"/>
  <c r="H5" i="1" s="1"/>
  <c r="I5" i="1" s="1"/>
  <c r="J24" i="1" l="1"/>
  <c r="J20" i="1"/>
  <c r="J16" i="1"/>
  <c r="J12" i="1"/>
  <c r="J8" i="1"/>
  <c r="J18" i="1"/>
  <c r="J14" i="1"/>
  <c r="J6" i="1"/>
  <c r="J23" i="1"/>
  <c r="J19" i="1"/>
  <c r="J15" i="1"/>
  <c r="J11" i="1"/>
  <c r="J7" i="1"/>
  <c r="J22" i="1"/>
  <c r="J10" i="1"/>
  <c r="J5" i="1"/>
  <c r="J21" i="1"/>
  <c r="J17" i="1"/>
  <c r="J13" i="1"/>
  <c r="J9" i="1"/>
  <c r="O27" i="2"/>
  <c r="J6" i="2"/>
  <c r="I6" i="2"/>
  <c r="J13" i="2"/>
  <c r="I13" i="2"/>
  <c r="J15" i="2"/>
  <c r="I15" i="2"/>
  <c r="J9" i="2"/>
  <c r="I9" i="2"/>
  <c r="J7" i="2"/>
  <c r="I7" i="2"/>
  <c r="J24" i="2"/>
  <c r="I24" i="2"/>
  <c r="J10" i="2"/>
  <c r="I10" i="2"/>
  <c r="J16" i="2"/>
  <c r="I16" i="2"/>
  <c r="J22" i="2"/>
  <c r="I22" i="2"/>
  <c r="J14" i="2"/>
  <c r="I14" i="2"/>
  <c r="J20" i="2"/>
  <c r="I20" i="2"/>
  <c r="J11" i="2"/>
  <c r="I11" i="2"/>
  <c r="J25" i="2"/>
  <c r="I25" i="2"/>
  <c r="J8" i="2"/>
  <c r="I8" i="2"/>
  <c r="J18" i="2"/>
  <c r="I18" i="2"/>
  <c r="J17" i="2"/>
  <c r="I17" i="2"/>
  <c r="J12" i="2"/>
  <c r="I12" i="2"/>
  <c r="J19" i="2"/>
  <c r="I19" i="2"/>
  <c r="J23" i="2"/>
  <c r="I23" i="2"/>
  <c r="J21" i="2"/>
  <c r="I21" i="2"/>
  <c r="I26" i="1"/>
  <c r="I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Utilisation de la fonction Solver </t>
        </r>
      </text>
    </comment>
  </commentList>
</comments>
</file>

<file path=xl/sharedStrings.xml><?xml version="1.0" encoding="utf-8"?>
<sst xmlns="http://schemas.openxmlformats.org/spreadsheetml/2006/main" count="90" uniqueCount="38">
  <si>
    <t>cœur</t>
  </si>
  <si>
    <t xml:space="preserve">y </t>
  </si>
  <si>
    <t xml:space="preserve">age </t>
  </si>
  <si>
    <t>taux_max</t>
  </si>
  <si>
    <t>angine</t>
  </si>
  <si>
    <t>presence</t>
  </si>
  <si>
    <t>absence</t>
  </si>
  <si>
    <t>a0</t>
  </si>
  <si>
    <t>a1</t>
  </si>
  <si>
    <t>a2</t>
  </si>
  <si>
    <t>a3</t>
  </si>
  <si>
    <t>C(X)</t>
  </si>
  <si>
    <t>PI</t>
  </si>
  <si>
    <t>LL</t>
  </si>
  <si>
    <t>LL=y*ln(pi)+(1-y)*ln(1-pi)</t>
  </si>
  <si>
    <t>-2LL</t>
  </si>
  <si>
    <t xml:space="preserve">prediction </t>
  </si>
  <si>
    <t>observation</t>
  </si>
  <si>
    <t>n+ (positif)</t>
  </si>
  <si>
    <t>n- (negatif)</t>
  </si>
  <si>
    <t>PI (score)</t>
  </si>
  <si>
    <t>TVP</t>
  </si>
  <si>
    <t>TFP</t>
  </si>
  <si>
    <t xml:space="preserve">Aire </t>
  </si>
  <si>
    <t>Xpb</t>
  </si>
  <si>
    <t>Ypb</t>
  </si>
  <si>
    <t>AUC</t>
  </si>
  <si>
    <t>Obs</t>
  </si>
  <si>
    <t>Étiquettes de colonnes</t>
  </si>
  <si>
    <t>Étiquettes de lignes</t>
  </si>
  <si>
    <t>Total général</t>
  </si>
  <si>
    <t>Nombre de Obs</t>
  </si>
  <si>
    <t>Taux d'erreur</t>
  </si>
  <si>
    <t>Taux de succès</t>
  </si>
  <si>
    <t>Sensisibilité</t>
  </si>
  <si>
    <t xml:space="preserve">Précision </t>
  </si>
  <si>
    <t xml:space="preserve">Spécificité </t>
  </si>
  <si>
    <t xml:space="preserve">-2LL (Deviance)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</si>
</sst>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2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TVP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courbe_roc!$L$5:$L$25</c:f>
              <c:numCache>
                <c:formatCode>0.0000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7.1428571428571425E-2</c:v>
                </c:pt>
                <c:pt idx="4">
                  <c:v>7.1428571428571425E-2</c:v>
                </c:pt>
                <c:pt idx="5">
                  <c:v>0.14285714285714285</c:v>
                </c:pt>
                <c:pt idx="6">
                  <c:v>0.14285714285714285</c:v>
                </c:pt>
                <c:pt idx="7">
                  <c:v>0.14285714285714285</c:v>
                </c:pt>
                <c:pt idx="8">
                  <c:v>0.21428571428571427</c:v>
                </c:pt>
                <c:pt idx="9">
                  <c:v>0.21428571428571427</c:v>
                </c:pt>
                <c:pt idx="10">
                  <c:v>0.2857142857142857</c:v>
                </c:pt>
                <c:pt idx="11">
                  <c:v>0.35714285714285715</c:v>
                </c:pt>
                <c:pt idx="12">
                  <c:v>0.42857142857142855</c:v>
                </c:pt>
                <c:pt idx="13">
                  <c:v>0.5</c:v>
                </c:pt>
                <c:pt idx="14">
                  <c:v>0.5714285714285714</c:v>
                </c:pt>
                <c:pt idx="15">
                  <c:v>0.6428571428571429</c:v>
                </c:pt>
                <c:pt idx="16">
                  <c:v>0.7142857142857143</c:v>
                </c:pt>
                <c:pt idx="17">
                  <c:v>0.7857142857142857</c:v>
                </c:pt>
                <c:pt idx="18">
                  <c:v>0.8571428571428571</c:v>
                </c:pt>
                <c:pt idx="19">
                  <c:v>0.9285714285714286</c:v>
                </c:pt>
                <c:pt idx="20">
                  <c:v>1</c:v>
                </c:pt>
              </c:numCache>
            </c:numRef>
          </c:xVal>
          <c:yVal>
            <c:numRef>
              <c:f>courbe_roc!$K$5:$K$25</c:f>
              <c:numCache>
                <c:formatCode>0.0000</c:formatCode>
                <c:ptCount val="21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0.5</c:v>
                </c:pt>
                <c:pt idx="5">
                  <c:v>0.5</c:v>
                </c:pt>
                <c:pt idx="6">
                  <c:v>0.66666666666666663</c:v>
                </c:pt>
                <c:pt idx="7">
                  <c:v>0.83333333333333337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6-48CC-A7EE-0ADA25A8F15E}"/>
            </c:ext>
          </c:extLst>
        </c:ser>
        <c:ser>
          <c:idx val="1"/>
          <c:order val="1"/>
          <c:tx>
            <c:v>Premiere bissectrice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courbe_roc!$N$5:$N$25</c:f>
              <c:numCache>
                <c:formatCode>0.0000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courbe_roc!$M$5:$M$25</c:f>
              <c:numCache>
                <c:formatCode>0.0000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06-48CC-A7EE-0ADA25A8F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702096"/>
        <c:axId val="555709968"/>
      </c:scatterChart>
      <c:valAx>
        <c:axId val="555702096"/>
        <c:scaling>
          <c:orientation val="minMax"/>
          <c:max val="1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5709968"/>
        <c:crosses val="autoZero"/>
        <c:crossBetween val="midCat"/>
        <c:majorUnit val="0.1"/>
        <c:minorUnit val="4.0000000000000008E-2"/>
      </c:valAx>
      <c:valAx>
        <c:axId val="555709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5702096"/>
        <c:crossesAt val="0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30</xdr:row>
      <xdr:rowOff>176211</xdr:rowOff>
    </xdr:from>
    <xdr:to>
      <xdr:col>11</xdr:col>
      <xdr:colOff>323850</xdr:colOff>
      <xdr:row>53</xdr:row>
      <xdr:rowOff>95250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3488.698829513887" createdVersion="6" refreshedVersion="6" minRefreshableVersion="3" recordCount="20" xr:uid="{00000000-000A-0000-FFFF-FFFF00000000}">
  <cacheSource type="worksheet">
    <worksheetSource ref="A4:J24" sheet="estimation"/>
  </cacheSource>
  <cacheFields count="10">
    <cacheField name="Obs" numFmtId="0">
      <sharedItems containsSemiMixedTypes="0" containsString="0" containsNumber="1" containsInteger="1" minValue="1" maxValue="20"/>
    </cacheField>
    <cacheField name="cœur" numFmtId="0">
      <sharedItems count="2">
        <s v="presence"/>
        <s v="absence"/>
      </sharedItems>
    </cacheField>
    <cacheField name="y " numFmtId="0">
      <sharedItems containsSemiMixedTypes="0" containsString="0" containsNumber="1" containsInteger="1" minValue="0" maxValue="1" count="2">
        <n v="1"/>
        <n v="0"/>
      </sharedItems>
    </cacheField>
    <cacheField name="age " numFmtId="0">
      <sharedItems containsSemiMixedTypes="0" containsString="0" containsNumber="1" containsInteger="1" minValue="35" maxValue="67"/>
    </cacheField>
    <cacheField name="taux_max" numFmtId="0">
      <sharedItems containsSemiMixedTypes="0" containsString="0" containsNumber="1" containsInteger="1" minValue="115" maxValue="175"/>
    </cacheField>
    <cacheField name="angine" numFmtId="0">
      <sharedItems containsSemiMixedTypes="0" containsString="0" containsNumber="1" containsInteger="1" minValue="0" maxValue="1" count="2">
        <n v="1"/>
        <n v="0"/>
      </sharedItems>
    </cacheField>
    <cacheField name="C(X)" numFmtId="164">
      <sharedItems containsSemiMixedTypes="0" containsString="0" containsNumber="1" minValue="-4.0945693682518343" maxValue="1.9835048098125116"/>
    </cacheField>
    <cacheField name="PI" numFmtId="0">
      <sharedItems containsSemiMixedTypes="0" containsString="0" containsNumber="1" minValue="1.6389818087755074E-2" maxValue="0.87905428127045304"/>
    </cacheField>
    <cacheField name="LL" numFmtId="0">
      <sharedItems containsSemiMixedTypes="0" containsString="0" containsNumber="1" minValue="-1.9559633924597783" maxValue="-1.6525617013884285E-2"/>
    </cacheField>
    <cacheField name="prediction 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x v="0"/>
    <x v="0"/>
    <n v="50"/>
    <n v="126"/>
    <x v="0"/>
    <n v="1.9835048098125116"/>
    <n v="0.87905428127045304"/>
    <n v="-0.12890862976738718"/>
    <x v="0"/>
  </r>
  <r>
    <n v="2"/>
    <x v="0"/>
    <x v="0"/>
    <n v="49"/>
    <n v="126"/>
    <x v="1"/>
    <n v="0.33013192894666865"/>
    <n v="0.58179147684054267"/>
    <n v="-0.54164318266646128"/>
    <x v="0"/>
  </r>
  <r>
    <n v="3"/>
    <x v="0"/>
    <x v="0"/>
    <n v="46"/>
    <n v="144"/>
    <x v="1"/>
    <n v="-0.43777174137916219"/>
    <n v="0.39227204656970716"/>
    <n v="-0.93579968354448984"/>
    <x v="1"/>
  </r>
  <r>
    <n v="4"/>
    <x v="0"/>
    <x v="0"/>
    <n v="49"/>
    <n v="139"/>
    <x v="1"/>
    <n v="-0.49675260027160917"/>
    <n v="0.3783041227244775"/>
    <n v="-0.97205684937325432"/>
    <x v="1"/>
  </r>
  <r>
    <n v="5"/>
    <x v="0"/>
    <x v="0"/>
    <n v="62"/>
    <n v="154"/>
    <x v="0"/>
    <n v="-1.3055307336401438"/>
    <n v="0.21323567508685601"/>
    <n v="-1.5453572691369526"/>
    <x v="1"/>
  </r>
  <r>
    <n v="6"/>
    <x v="0"/>
    <x v="0"/>
    <n v="35"/>
    <n v="156"/>
    <x v="0"/>
    <n v="1.9603765930369401"/>
    <n v="0.8765737026599586"/>
    <n v="-0.13173449069455292"/>
    <x v="0"/>
  </r>
  <r>
    <n v="7"/>
    <x v="1"/>
    <x v="1"/>
    <n v="67"/>
    <n v="160"/>
    <x v="1"/>
    <n v="-4.0945693682518343"/>
    <n v="1.6389818087755074E-2"/>
    <n v="-1.6525617013884285E-2"/>
    <x v="1"/>
  </r>
  <r>
    <n v="8"/>
    <x v="1"/>
    <x v="1"/>
    <n v="65"/>
    <n v="140"/>
    <x v="1"/>
    <n v="-2.5710970765471401"/>
    <n v="7.1021887336833206E-2"/>
    <n v="-7.3670100550075987E-2"/>
    <x v="1"/>
  </r>
  <r>
    <n v="9"/>
    <x v="1"/>
    <x v="1"/>
    <n v="47"/>
    <n v="143"/>
    <x v="1"/>
    <n v="-0.49983636250835062"/>
    <n v="0.37757912498667379"/>
    <n v="-0.4741387671345606"/>
    <x v="1"/>
  </r>
  <r>
    <n v="10"/>
    <x v="1"/>
    <x v="1"/>
    <n v="58"/>
    <n v="165"/>
    <x v="1"/>
    <n v="-3.2815617690989001"/>
    <n v="3.6209174151821205E-2"/>
    <n v="-3.6880993551049575E-2"/>
    <x v="1"/>
  </r>
  <r>
    <n v="11"/>
    <x v="1"/>
    <x v="1"/>
    <n v="57"/>
    <n v="115"/>
    <x v="0"/>
    <n v="1.8034784708984328"/>
    <n v="0.85857183978160989"/>
    <n v="-1.9559633924597783"/>
    <x v="0"/>
  </r>
  <r>
    <n v="12"/>
    <x v="1"/>
    <x v="1"/>
    <n v="59"/>
    <n v="145"/>
    <x v="1"/>
    <n v="-2.1351028475244505"/>
    <n v="0.10573153369881548"/>
    <n v="-0.11174925101295997"/>
    <x v="1"/>
  </r>
  <r>
    <n v="13"/>
    <x v="1"/>
    <x v="1"/>
    <n v="44"/>
    <n v="175"/>
    <x v="1"/>
    <n v="-2.1582310643000238"/>
    <n v="0.10356456245167141"/>
    <n v="-0.10932900465033678"/>
    <x v="1"/>
  </r>
  <r>
    <n v="14"/>
    <x v="1"/>
    <x v="1"/>
    <n v="41"/>
    <n v="153"/>
    <x v="1"/>
    <n v="-0.38187464472346022"/>
    <n v="0.40567483523886599"/>
    <n v="-0.52032869397387238"/>
    <x v="1"/>
  </r>
  <r>
    <n v="15"/>
    <x v="1"/>
    <x v="1"/>
    <n v="54"/>
    <n v="152"/>
    <x v="1"/>
    <n v="-1.9519927463736284"/>
    <n v="0.12433623200235576"/>
    <n v="-0.13277308821269329"/>
    <x v="1"/>
  </r>
  <r>
    <n v="16"/>
    <x v="1"/>
    <x v="1"/>
    <n v="52"/>
    <n v="169"/>
    <x v="1"/>
    <n v="-2.7819610378286503"/>
    <n v="5.8306787318890226E-2"/>
    <n v="-6.0075734009233273E-2"/>
    <x v="1"/>
  </r>
  <r>
    <n v="17"/>
    <x v="1"/>
    <x v="1"/>
    <n v="57"/>
    <n v="168"/>
    <x v="0"/>
    <n v="-1.5676661482222403"/>
    <n v="0.17254935532204835"/>
    <n v="-0.18940581740340079"/>
    <x v="1"/>
  </r>
  <r>
    <n v="18"/>
    <x v="1"/>
    <x v="1"/>
    <n v="50"/>
    <n v="158"/>
    <x v="1"/>
    <n v="-1.8309472663519948"/>
    <n v="0.13812546546331189"/>
    <n v="-0.14864557049367175"/>
    <x v="1"/>
  </r>
  <r>
    <n v="19"/>
    <x v="1"/>
    <x v="1"/>
    <n v="44"/>
    <n v="170"/>
    <x v="1"/>
    <n v="-1.8401985530622245"/>
    <n v="0.13702781174729498"/>
    <n v="-0.14737281523989879"/>
    <x v="1"/>
  </r>
  <r>
    <n v="20"/>
    <x v="1"/>
    <x v="1"/>
    <n v="49"/>
    <n v="171"/>
    <x v="1"/>
    <n v="-2.532160672193525"/>
    <n v="7.3634126680434953E-2"/>
    <n v="-7.6486010795777784E-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D7" firstHeaderRow="1" firstDataRow="2" firstDataCol="1"/>
  <pivotFields count="10">
    <pivotField dataField="1" showAll="0"/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numFmtId="164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Ob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="115" zoomScaleNormal="115" workbookViewId="0">
      <selection activeCell="J5" sqref="J5"/>
    </sheetView>
  </sheetViews>
  <sheetFormatPr baseColWidth="10" defaultColWidth="9.140625" defaultRowHeight="15" x14ac:dyDescent="0.25"/>
  <cols>
    <col min="10" max="10" width="13.42578125" customWidth="1"/>
  </cols>
  <sheetData>
    <row r="1" spans="1:10" x14ac:dyDescent="0.25">
      <c r="A1" t="s">
        <v>14</v>
      </c>
      <c r="E1" t="s">
        <v>7</v>
      </c>
      <c r="F1" t="s">
        <v>8</v>
      </c>
      <c r="G1" t="s">
        <v>9</v>
      </c>
      <c r="H1" t="s">
        <v>10</v>
      </c>
    </row>
    <row r="2" spans="1:10" x14ac:dyDescent="0.25">
      <c r="E2" s="1">
        <v>14.502436257599877</v>
      </c>
      <c r="F2" s="1">
        <v>-0.12567112337674824</v>
      </c>
      <c r="G2" s="1">
        <v>-6.3606502247559871E-2</v>
      </c>
      <c r="H2" s="1">
        <v>1.7790440042425906</v>
      </c>
    </row>
    <row r="4" spans="1:10" x14ac:dyDescent="0.25">
      <c r="A4" s="3" t="s">
        <v>27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11</v>
      </c>
      <c r="H4" s="3" t="s">
        <v>12</v>
      </c>
      <c r="I4" s="3" t="s">
        <v>13</v>
      </c>
      <c r="J4" s="3" t="s">
        <v>16</v>
      </c>
    </row>
    <row r="5" spans="1:10" x14ac:dyDescent="0.25">
      <c r="A5" s="3">
        <v>1</v>
      </c>
      <c r="B5" s="3" t="s">
        <v>5</v>
      </c>
      <c r="C5" s="3">
        <v>1</v>
      </c>
      <c r="D5" s="3">
        <v>50</v>
      </c>
      <c r="E5" s="3">
        <v>126</v>
      </c>
      <c r="F5" s="3">
        <v>1</v>
      </c>
      <c r="G5" s="4">
        <f>$E$2+$F$2*D5+$G$2*E5+$H$2*F5</f>
        <v>1.9835048098125116</v>
      </c>
      <c r="H5" s="3">
        <f>1/(1+EXP(-G5))</f>
        <v>0.87905428127045304</v>
      </c>
      <c r="I5" s="3">
        <f>C5*LN(H5)+(1-C5)*LN(1-H5)</f>
        <v>-0.12890862976738718</v>
      </c>
      <c r="J5" s="3">
        <f>IF(H5&gt;0.5,1,0)</f>
        <v>1</v>
      </c>
    </row>
    <row r="6" spans="1:10" x14ac:dyDescent="0.25">
      <c r="A6" s="3">
        <v>2</v>
      </c>
      <c r="B6" s="3" t="s">
        <v>5</v>
      </c>
      <c r="C6" s="3">
        <v>1</v>
      </c>
      <c r="D6" s="3">
        <v>49</v>
      </c>
      <c r="E6" s="3">
        <v>126</v>
      </c>
      <c r="F6" s="3">
        <v>0</v>
      </c>
      <c r="G6" s="4">
        <f t="shared" ref="G6:G24" si="0">$E$2+$F$2*D6+$G$2*E6+$H$2*F6</f>
        <v>0.33013192894666865</v>
      </c>
      <c r="H6" s="3">
        <f t="shared" ref="H6:H24" si="1">1/(1+EXP(-G6))</f>
        <v>0.58179147684054267</v>
      </c>
      <c r="I6" s="3">
        <f t="shared" ref="I6:I24" si="2">C6*LN(H6)+(1-C6)*LN(1-H6)</f>
        <v>-0.54164318266646128</v>
      </c>
      <c r="J6" s="3">
        <f t="shared" ref="J6:J24" si="3">IF(H6&gt;0.5,1,0)</f>
        <v>1</v>
      </c>
    </row>
    <row r="7" spans="1:10" x14ac:dyDescent="0.25">
      <c r="A7" s="3">
        <v>3</v>
      </c>
      <c r="B7" s="3" t="s">
        <v>5</v>
      </c>
      <c r="C7" s="3">
        <v>1</v>
      </c>
      <c r="D7" s="3">
        <v>46</v>
      </c>
      <c r="E7" s="3">
        <v>144</v>
      </c>
      <c r="F7" s="3">
        <v>0</v>
      </c>
      <c r="G7" s="4">
        <f t="shared" si="0"/>
        <v>-0.43777174137916219</v>
      </c>
      <c r="H7" s="3">
        <f t="shared" si="1"/>
        <v>0.39227204656970716</v>
      </c>
      <c r="I7" s="3">
        <f t="shared" si="2"/>
        <v>-0.93579968354448984</v>
      </c>
      <c r="J7" s="3">
        <f t="shared" si="3"/>
        <v>0</v>
      </c>
    </row>
    <row r="8" spans="1:10" x14ac:dyDescent="0.25">
      <c r="A8" s="3">
        <v>4</v>
      </c>
      <c r="B8" s="3" t="s">
        <v>5</v>
      </c>
      <c r="C8" s="3">
        <v>1</v>
      </c>
      <c r="D8" s="3">
        <v>49</v>
      </c>
      <c r="E8" s="3">
        <v>139</v>
      </c>
      <c r="F8" s="3">
        <v>0</v>
      </c>
      <c r="G8" s="4">
        <f t="shared" si="0"/>
        <v>-0.49675260027160917</v>
      </c>
      <c r="H8" s="3">
        <f t="shared" si="1"/>
        <v>0.3783041227244775</v>
      </c>
      <c r="I8" s="3">
        <f t="shared" si="2"/>
        <v>-0.97205684937325432</v>
      </c>
      <c r="J8" s="3">
        <f t="shared" si="3"/>
        <v>0</v>
      </c>
    </row>
    <row r="9" spans="1:10" x14ac:dyDescent="0.25">
      <c r="A9" s="3">
        <v>5</v>
      </c>
      <c r="B9" s="3" t="s">
        <v>5</v>
      </c>
      <c r="C9" s="3">
        <v>1</v>
      </c>
      <c r="D9" s="3">
        <v>62</v>
      </c>
      <c r="E9" s="3">
        <v>154</v>
      </c>
      <c r="F9" s="3">
        <v>1</v>
      </c>
      <c r="G9" s="4">
        <f t="shared" si="0"/>
        <v>-1.3055307336401438</v>
      </c>
      <c r="H9" s="3">
        <f t="shared" si="1"/>
        <v>0.21323567508685601</v>
      </c>
      <c r="I9" s="3">
        <f t="shared" si="2"/>
        <v>-1.5453572691369526</v>
      </c>
      <c r="J9" s="3">
        <f t="shared" si="3"/>
        <v>0</v>
      </c>
    </row>
    <row r="10" spans="1:10" x14ac:dyDescent="0.25">
      <c r="A10" s="3">
        <v>6</v>
      </c>
      <c r="B10" s="3" t="s">
        <v>5</v>
      </c>
      <c r="C10" s="3">
        <v>1</v>
      </c>
      <c r="D10" s="3">
        <v>35</v>
      </c>
      <c r="E10" s="3">
        <v>156</v>
      </c>
      <c r="F10" s="3">
        <v>1</v>
      </c>
      <c r="G10" s="4">
        <f t="shared" si="0"/>
        <v>1.9603765930369401</v>
      </c>
      <c r="H10" s="3">
        <f t="shared" si="1"/>
        <v>0.8765737026599586</v>
      </c>
      <c r="I10" s="3">
        <f t="shared" si="2"/>
        <v>-0.13173449069455292</v>
      </c>
      <c r="J10" s="3">
        <f t="shared" si="3"/>
        <v>1</v>
      </c>
    </row>
    <row r="11" spans="1:10" x14ac:dyDescent="0.25">
      <c r="A11" s="3">
        <v>7</v>
      </c>
      <c r="B11" s="3" t="s">
        <v>6</v>
      </c>
      <c r="C11" s="3">
        <v>0</v>
      </c>
      <c r="D11" s="3">
        <v>67</v>
      </c>
      <c r="E11" s="3">
        <v>160</v>
      </c>
      <c r="F11" s="3">
        <v>0</v>
      </c>
      <c r="G11" s="4">
        <f t="shared" si="0"/>
        <v>-4.0945693682518343</v>
      </c>
      <c r="H11" s="3">
        <f t="shared" si="1"/>
        <v>1.6389818087755074E-2</v>
      </c>
      <c r="I11" s="3">
        <f t="shared" si="2"/>
        <v>-1.6525617013884285E-2</v>
      </c>
      <c r="J11" s="3">
        <f t="shared" si="3"/>
        <v>0</v>
      </c>
    </row>
    <row r="12" spans="1:10" x14ac:dyDescent="0.25">
      <c r="A12" s="3">
        <v>8</v>
      </c>
      <c r="B12" s="3" t="s">
        <v>6</v>
      </c>
      <c r="C12" s="3">
        <v>0</v>
      </c>
      <c r="D12" s="3">
        <v>65</v>
      </c>
      <c r="E12" s="3">
        <v>140</v>
      </c>
      <c r="F12" s="3">
        <v>0</v>
      </c>
      <c r="G12" s="4">
        <f t="shared" si="0"/>
        <v>-2.5710970765471401</v>
      </c>
      <c r="H12" s="3">
        <f t="shared" si="1"/>
        <v>7.1021887336833206E-2</v>
      </c>
      <c r="I12" s="3">
        <f t="shared" si="2"/>
        <v>-7.3670100550075987E-2</v>
      </c>
      <c r="J12" s="3">
        <f t="shared" si="3"/>
        <v>0</v>
      </c>
    </row>
    <row r="13" spans="1:10" x14ac:dyDescent="0.25">
      <c r="A13" s="3">
        <v>9</v>
      </c>
      <c r="B13" s="3" t="s">
        <v>6</v>
      </c>
      <c r="C13" s="3">
        <v>0</v>
      </c>
      <c r="D13" s="3">
        <v>47</v>
      </c>
      <c r="E13" s="3">
        <v>143</v>
      </c>
      <c r="F13" s="3">
        <v>0</v>
      </c>
      <c r="G13" s="4">
        <f t="shared" si="0"/>
        <v>-0.49983636250835062</v>
      </c>
      <c r="H13" s="3">
        <f t="shared" si="1"/>
        <v>0.37757912498667379</v>
      </c>
      <c r="I13" s="3">
        <f t="shared" si="2"/>
        <v>-0.4741387671345606</v>
      </c>
      <c r="J13" s="3">
        <f t="shared" si="3"/>
        <v>0</v>
      </c>
    </row>
    <row r="14" spans="1:10" x14ac:dyDescent="0.25">
      <c r="A14" s="3">
        <v>10</v>
      </c>
      <c r="B14" s="3" t="s">
        <v>6</v>
      </c>
      <c r="C14" s="3">
        <v>0</v>
      </c>
      <c r="D14" s="3">
        <v>58</v>
      </c>
      <c r="E14" s="3">
        <v>165</v>
      </c>
      <c r="F14" s="3">
        <v>0</v>
      </c>
      <c r="G14" s="4">
        <f t="shared" si="0"/>
        <v>-3.2815617690989001</v>
      </c>
      <c r="H14" s="3">
        <f t="shared" si="1"/>
        <v>3.6209174151821205E-2</v>
      </c>
      <c r="I14" s="3">
        <f t="shared" si="2"/>
        <v>-3.6880993551049575E-2</v>
      </c>
      <c r="J14" s="3">
        <f t="shared" si="3"/>
        <v>0</v>
      </c>
    </row>
    <row r="15" spans="1:10" x14ac:dyDescent="0.25">
      <c r="A15" s="3">
        <v>11</v>
      </c>
      <c r="B15" s="3" t="s">
        <v>6</v>
      </c>
      <c r="C15" s="3">
        <v>0</v>
      </c>
      <c r="D15" s="3">
        <v>57</v>
      </c>
      <c r="E15" s="3">
        <v>115</v>
      </c>
      <c r="F15" s="3">
        <v>1</v>
      </c>
      <c r="G15" s="4">
        <f t="shared" si="0"/>
        <v>1.8034784708984328</v>
      </c>
      <c r="H15" s="3">
        <f t="shared" si="1"/>
        <v>0.85857183978160989</v>
      </c>
      <c r="I15" s="3">
        <f t="shared" si="2"/>
        <v>-1.9559633924597783</v>
      </c>
      <c r="J15" s="3">
        <f t="shared" si="3"/>
        <v>1</v>
      </c>
    </row>
    <row r="16" spans="1:10" x14ac:dyDescent="0.25">
      <c r="A16" s="3">
        <v>12</v>
      </c>
      <c r="B16" s="3" t="s">
        <v>6</v>
      </c>
      <c r="C16" s="3">
        <v>0</v>
      </c>
      <c r="D16" s="3">
        <v>59</v>
      </c>
      <c r="E16" s="3">
        <v>145</v>
      </c>
      <c r="F16" s="3">
        <v>0</v>
      </c>
      <c r="G16" s="4">
        <f t="shared" si="0"/>
        <v>-2.1351028475244505</v>
      </c>
      <c r="H16" s="3">
        <f t="shared" si="1"/>
        <v>0.10573153369881548</v>
      </c>
      <c r="I16" s="3">
        <f t="shared" si="2"/>
        <v>-0.11174925101295997</v>
      </c>
      <c r="J16" s="3">
        <f t="shared" si="3"/>
        <v>0</v>
      </c>
    </row>
    <row r="17" spans="1:10" x14ac:dyDescent="0.25">
      <c r="A17" s="3">
        <v>13</v>
      </c>
      <c r="B17" s="3" t="s">
        <v>6</v>
      </c>
      <c r="C17" s="3">
        <v>0</v>
      </c>
      <c r="D17" s="3">
        <v>44</v>
      </c>
      <c r="E17" s="3">
        <v>175</v>
      </c>
      <c r="F17" s="3">
        <v>0</v>
      </c>
      <c r="G17" s="4">
        <f t="shared" si="0"/>
        <v>-2.1582310643000238</v>
      </c>
      <c r="H17" s="3">
        <f t="shared" si="1"/>
        <v>0.10356456245167141</v>
      </c>
      <c r="I17" s="3">
        <f t="shared" si="2"/>
        <v>-0.10932900465033678</v>
      </c>
      <c r="J17" s="3">
        <f t="shared" si="3"/>
        <v>0</v>
      </c>
    </row>
    <row r="18" spans="1:10" x14ac:dyDescent="0.25">
      <c r="A18" s="3">
        <v>14</v>
      </c>
      <c r="B18" s="3" t="s">
        <v>6</v>
      </c>
      <c r="C18" s="3">
        <v>0</v>
      </c>
      <c r="D18" s="3">
        <v>41</v>
      </c>
      <c r="E18" s="3">
        <v>153</v>
      </c>
      <c r="F18" s="3">
        <v>0</v>
      </c>
      <c r="G18" s="4">
        <f t="shared" si="0"/>
        <v>-0.38187464472346022</v>
      </c>
      <c r="H18" s="3">
        <f t="shared" si="1"/>
        <v>0.40567483523886599</v>
      </c>
      <c r="I18" s="3">
        <f t="shared" si="2"/>
        <v>-0.52032869397387238</v>
      </c>
      <c r="J18" s="3">
        <f t="shared" si="3"/>
        <v>0</v>
      </c>
    </row>
    <row r="19" spans="1:10" x14ac:dyDescent="0.25">
      <c r="A19" s="3">
        <v>15</v>
      </c>
      <c r="B19" s="3" t="s">
        <v>6</v>
      </c>
      <c r="C19" s="3">
        <v>0</v>
      </c>
      <c r="D19" s="3">
        <v>54</v>
      </c>
      <c r="E19" s="3">
        <v>152</v>
      </c>
      <c r="F19" s="3">
        <v>0</v>
      </c>
      <c r="G19" s="4">
        <f t="shared" si="0"/>
        <v>-1.9519927463736284</v>
      </c>
      <c r="H19" s="3">
        <f t="shared" si="1"/>
        <v>0.12433623200235576</v>
      </c>
      <c r="I19" s="3">
        <f t="shared" si="2"/>
        <v>-0.13277308821269329</v>
      </c>
      <c r="J19" s="3">
        <f t="shared" si="3"/>
        <v>0</v>
      </c>
    </row>
    <row r="20" spans="1:10" x14ac:dyDescent="0.25">
      <c r="A20" s="3">
        <v>16</v>
      </c>
      <c r="B20" s="3" t="s">
        <v>6</v>
      </c>
      <c r="C20" s="3">
        <v>0</v>
      </c>
      <c r="D20" s="3">
        <v>52</v>
      </c>
      <c r="E20" s="3">
        <v>169</v>
      </c>
      <c r="F20" s="3">
        <v>0</v>
      </c>
      <c r="G20" s="4">
        <f t="shared" si="0"/>
        <v>-2.7819610378286503</v>
      </c>
      <c r="H20" s="3">
        <f t="shared" si="1"/>
        <v>5.8306787318890226E-2</v>
      </c>
      <c r="I20" s="3">
        <f t="shared" si="2"/>
        <v>-6.0075734009233273E-2</v>
      </c>
      <c r="J20" s="3">
        <f t="shared" si="3"/>
        <v>0</v>
      </c>
    </row>
    <row r="21" spans="1:10" x14ac:dyDescent="0.25">
      <c r="A21" s="3">
        <v>17</v>
      </c>
      <c r="B21" s="3" t="s">
        <v>6</v>
      </c>
      <c r="C21" s="3">
        <v>0</v>
      </c>
      <c r="D21" s="3">
        <v>57</v>
      </c>
      <c r="E21" s="3">
        <v>168</v>
      </c>
      <c r="F21" s="3">
        <v>1</v>
      </c>
      <c r="G21" s="4">
        <f t="shared" si="0"/>
        <v>-1.5676661482222403</v>
      </c>
      <c r="H21" s="3">
        <f t="shared" si="1"/>
        <v>0.17254935532204835</v>
      </c>
      <c r="I21" s="3">
        <f t="shared" si="2"/>
        <v>-0.18940581740340079</v>
      </c>
      <c r="J21" s="3">
        <f t="shared" si="3"/>
        <v>0</v>
      </c>
    </row>
    <row r="22" spans="1:10" x14ac:dyDescent="0.25">
      <c r="A22" s="3">
        <v>18</v>
      </c>
      <c r="B22" s="3" t="s">
        <v>6</v>
      </c>
      <c r="C22" s="3">
        <v>0</v>
      </c>
      <c r="D22" s="3">
        <v>50</v>
      </c>
      <c r="E22" s="3">
        <v>158</v>
      </c>
      <c r="F22" s="3">
        <v>0</v>
      </c>
      <c r="G22" s="4">
        <f t="shared" si="0"/>
        <v>-1.8309472663519948</v>
      </c>
      <c r="H22" s="3">
        <f t="shared" si="1"/>
        <v>0.13812546546331189</v>
      </c>
      <c r="I22" s="3">
        <f t="shared" si="2"/>
        <v>-0.14864557049367175</v>
      </c>
      <c r="J22" s="3">
        <f t="shared" si="3"/>
        <v>0</v>
      </c>
    </row>
    <row r="23" spans="1:10" x14ac:dyDescent="0.25">
      <c r="A23" s="3">
        <v>19</v>
      </c>
      <c r="B23" s="3" t="s">
        <v>6</v>
      </c>
      <c r="C23" s="3">
        <v>0</v>
      </c>
      <c r="D23" s="3">
        <v>44</v>
      </c>
      <c r="E23" s="3">
        <v>170</v>
      </c>
      <c r="F23" s="3">
        <v>0</v>
      </c>
      <c r="G23" s="4">
        <f t="shared" si="0"/>
        <v>-1.8401985530622245</v>
      </c>
      <c r="H23" s="3">
        <f t="shared" si="1"/>
        <v>0.13702781174729498</v>
      </c>
      <c r="I23" s="3">
        <f t="shared" si="2"/>
        <v>-0.14737281523989879</v>
      </c>
      <c r="J23" s="3">
        <f t="shared" si="3"/>
        <v>0</v>
      </c>
    </row>
    <row r="24" spans="1:10" x14ac:dyDescent="0.25">
      <c r="A24" s="3">
        <v>20</v>
      </c>
      <c r="B24" s="3" t="s">
        <v>6</v>
      </c>
      <c r="C24" s="3">
        <v>0</v>
      </c>
      <c r="D24" s="3">
        <v>49</v>
      </c>
      <c r="E24" s="3">
        <v>171</v>
      </c>
      <c r="F24" s="3">
        <v>0</v>
      </c>
      <c r="G24" s="4">
        <f t="shared" si="0"/>
        <v>-2.532160672193525</v>
      </c>
      <c r="H24" s="3">
        <f t="shared" si="1"/>
        <v>7.3634126680434953E-2</v>
      </c>
      <c r="I24" s="3">
        <f t="shared" si="2"/>
        <v>-7.6486010795777784E-2</v>
      </c>
      <c r="J24" s="3">
        <f t="shared" si="3"/>
        <v>0</v>
      </c>
    </row>
    <row r="26" spans="1:10" x14ac:dyDescent="0.25">
      <c r="H26" s="2" t="s">
        <v>15</v>
      </c>
      <c r="I26">
        <f>-2*SUM(I5:I24)</f>
        <v>16.617689923368584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5"/>
  <sheetViews>
    <sheetView workbookViewId="0">
      <selection activeCell="A3" sqref="A3:D7"/>
    </sheetView>
  </sheetViews>
  <sheetFormatPr baseColWidth="10" defaultRowHeight="15" x14ac:dyDescent="0.25"/>
  <cols>
    <col min="1" max="1" width="21" customWidth="1"/>
    <col min="2" max="2" width="19.5703125" customWidth="1"/>
    <col min="3" max="3" width="17.85546875" customWidth="1"/>
    <col min="4" max="4" width="12.5703125" bestFit="1" customWidth="1"/>
  </cols>
  <sheetData>
    <row r="3" spans="1:4" x14ac:dyDescent="0.25">
      <c r="A3" s="5" t="s">
        <v>31</v>
      </c>
      <c r="B3" s="5" t="s">
        <v>28</v>
      </c>
    </row>
    <row r="4" spans="1:4" x14ac:dyDescent="0.25">
      <c r="A4" s="5" t="s">
        <v>29</v>
      </c>
      <c r="B4">
        <v>0</v>
      </c>
      <c r="C4">
        <v>1</v>
      </c>
      <c r="D4" t="s">
        <v>30</v>
      </c>
    </row>
    <row r="5" spans="1:4" x14ac:dyDescent="0.25">
      <c r="A5" s="6">
        <v>0</v>
      </c>
      <c r="B5" s="7">
        <v>13</v>
      </c>
      <c r="C5" s="7">
        <v>1</v>
      </c>
      <c r="D5" s="7">
        <v>14</v>
      </c>
    </row>
    <row r="6" spans="1:4" x14ac:dyDescent="0.25">
      <c r="A6" s="6">
        <v>1</v>
      </c>
      <c r="B6" s="7">
        <v>3</v>
      </c>
      <c r="C6" s="7">
        <v>3</v>
      </c>
      <c r="D6" s="7">
        <v>6</v>
      </c>
    </row>
    <row r="7" spans="1:4" x14ac:dyDescent="0.25">
      <c r="A7" s="6" t="s">
        <v>30</v>
      </c>
      <c r="B7" s="7">
        <v>16</v>
      </c>
      <c r="C7" s="7">
        <v>4</v>
      </c>
      <c r="D7" s="7">
        <v>20</v>
      </c>
    </row>
    <row r="10" spans="1:4" x14ac:dyDescent="0.25">
      <c r="B10" s="3" t="s">
        <v>32</v>
      </c>
      <c r="C10" s="3">
        <f>4/20</f>
        <v>0.2</v>
      </c>
    </row>
    <row r="11" spans="1:4" x14ac:dyDescent="0.25">
      <c r="B11" s="3" t="s">
        <v>33</v>
      </c>
      <c r="C11" s="3">
        <f>16/20</f>
        <v>0.8</v>
      </c>
    </row>
    <row r="12" spans="1:4" x14ac:dyDescent="0.25">
      <c r="B12" s="3" t="s">
        <v>34</v>
      </c>
      <c r="C12" s="3">
        <f>3/6</f>
        <v>0.5</v>
      </c>
    </row>
    <row r="13" spans="1:4" x14ac:dyDescent="0.25">
      <c r="B13" s="3" t="s">
        <v>35</v>
      </c>
      <c r="C13" s="3">
        <f>3/4</f>
        <v>0.75</v>
      </c>
    </row>
    <row r="14" spans="1:4" x14ac:dyDescent="0.25">
      <c r="B14" s="3" t="s">
        <v>36</v>
      </c>
      <c r="C14" s="9">
        <f>13/14</f>
        <v>0.9285714285714286</v>
      </c>
    </row>
    <row r="15" spans="1:4" x14ac:dyDescent="0.25">
      <c r="C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tabSelected="1" workbookViewId="0">
      <selection activeCell="M5" sqref="M5:O25"/>
    </sheetView>
  </sheetViews>
  <sheetFormatPr baseColWidth="10" defaultRowHeight="15" x14ac:dyDescent="0.25"/>
  <cols>
    <col min="1" max="1" width="14.42578125" customWidth="1"/>
    <col min="8" max="8" width="19.85546875" customWidth="1"/>
    <col min="11" max="12" width="12.5703125" bestFit="1" customWidth="1"/>
    <col min="13" max="13" width="12.5703125" customWidth="1"/>
  </cols>
  <sheetData>
    <row r="1" spans="1:15" x14ac:dyDescent="0.25">
      <c r="A1" t="s">
        <v>14</v>
      </c>
      <c r="E1" t="s">
        <v>7</v>
      </c>
      <c r="F1" t="s">
        <v>8</v>
      </c>
      <c r="G1" t="s">
        <v>9</v>
      </c>
      <c r="H1" t="s">
        <v>10</v>
      </c>
    </row>
    <row r="2" spans="1:15" x14ac:dyDescent="0.25">
      <c r="E2" s="1">
        <v>14.502436257599877</v>
      </c>
      <c r="F2" s="1">
        <v>-0.12567112337674824</v>
      </c>
      <c r="G2" s="1">
        <v>-6.3606502247559871E-2</v>
      </c>
      <c r="H2" s="1">
        <v>1.7790440042425906</v>
      </c>
    </row>
    <row r="4" spans="1:15" x14ac:dyDescent="0.25">
      <c r="A4" s="3" t="s">
        <v>17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11</v>
      </c>
      <c r="H4" s="3" t="s">
        <v>20</v>
      </c>
      <c r="I4" s="3" t="s">
        <v>13</v>
      </c>
      <c r="J4" s="3" t="s">
        <v>16</v>
      </c>
      <c r="K4" s="3" t="s">
        <v>21</v>
      </c>
      <c r="L4" s="3" t="s">
        <v>22</v>
      </c>
      <c r="M4" s="10" t="s">
        <v>25</v>
      </c>
      <c r="N4" s="10" t="s">
        <v>24</v>
      </c>
      <c r="O4" s="3" t="s">
        <v>23</v>
      </c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4">
        <v>0</v>
      </c>
      <c r="L5" s="4">
        <v>0</v>
      </c>
      <c r="M5" s="11">
        <v>0</v>
      </c>
      <c r="N5" s="11">
        <v>0</v>
      </c>
      <c r="O5" s="4">
        <v>0</v>
      </c>
    </row>
    <row r="6" spans="1:15" x14ac:dyDescent="0.25">
      <c r="A6" s="3">
        <v>1</v>
      </c>
      <c r="B6" s="3" t="s">
        <v>5</v>
      </c>
      <c r="C6" s="3">
        <v>1</v>
      </c>
      <c r="D6" s="3">
        <v>50</v>
      </c>
      <c r="E6" s="3">
        <v>126</v>
      </c>
      <c r="F6" s="3">
        <v>1</v>
      </c>
      <c r="G6" s="4">
        <f t="shared" ref="G6:G25" si="0">$E$2+$F$2*D6+$G$2*E6+$H$2*F6</f>
        <v>1.9835048098125116</v>
      </c>
      <c r="H6" s="3">
        <f t="shared" ref="H6:H25" si="1">1/(1+EXP(-G6))</f>
        <v>0.87905428127045304</v>
      </c>
      <c r="I6" s="3">
        <f t="shared" ref="I6:I25" si="2">C6*LN(H6)+(1-C6)*LN(1-H6)</f>
        <v>-0.12890862976738718</v>
      </c>
      <c r="J6" s="3">
        <f t="shared" ref="J6:J25" si="3">IF(H6&gt;0.5,1,0)</f>
        <v>1</v>
      </c>
      <c r="K6" s="4">
        <f>COUNTIF($C$5:C6,1)/$B$27</f>
        <v>0.16666666666666666</v>
      </c>
      <c r="L6" s="4">
        <f>COUNTIF($C$5:C6,0)/$B$28</f>
        <v>0</v>
      </c>
      <c r="M6" s="11">
        <v>0.05</v>
      </c>
      <c r="N6" s="11">
        <v>0.05</v>
      </c>
      <c r="O6" s="4">
        <f>(L6-L5)*(K6+K5)/2</f>
        <v>0</v>
      </c>
    </row>
    <row r="7" spans="1:15" x14ac:dyDescent="0.25">
      <c r="A7" s="3">
        <v>6</v>
      </c>
      <c r="B7" s="3" t="s">
        <v>5</v>
      </c>
      <c r="C7" s="3">
        <v>1</v>
      </c>
      <c r="D7" s="3">
        <v>35</v>
      </c>
      <c r="E7" s="3">
        <v>156</v>
      </c>
      <c r="F7" s="3">
        <v>1</v>
      </c>
      <c r="G7" s="4">
        <f t="shared" si="0"/>
        <v>1.9603765930369401</v>
      </c>
      <c r="H7" s="3">
        <f t="shared" si="1"/>
        <v>0.8765737026599586</v>
      </c>
      <c r="I7" s="3">
        <f t="shared" si="2"/>
        <v>-0.13173449069455292</v>
      </c>
      <c r="J7" s="3">
        <f t="shared" si="3"/>
        <v>1</v>
      </c>
      <c r="K7" s="4">
        <f>COUNTIF($C$5:C7,1)/$B$27</f>
        <v>0.33333333333333331</v>
      </c>
      <c r="L7" s="4">
        <f>COUNTIF($C$5:C7,0)/$B$28</f>
        <v>0</v>
      </c>
      <c r="M7" s="11">
        <f>M6+0.05</f>
        <v>0.1</v>
      </c>
      <c r="N7" s="11">
        <f>N6+0.05</f>
        <v>0.1</v>
      </c>
      <c r="O7" s="4">
        <f t="shared" ref="O7:O25" si="4">(L7-L6)*(K7+K6)/2</f>
        <v>0</v>
      </c>
    </row>
    <row r="8" spans="1:15" x14ac:dyDescent="0.25">
      <c r="A8" s="3">
        <v>11</v>
      </c>
      <c r="B8" s="3" t="s">
        <v>6</v>
      </c>
      <c r="C8" s="3">
        <v>0</v>
      </c>
      <c r="D8" s="3">
        <v>57</v>
      </c>
      <c r="E8" s="3">
        <v>115</v>
      </c>
      <c r="F8" s="3">
        <v>1</v>
      </c>
      <c r="G8" s="4">
        <f t="shared" si="0"/>
        <v>1.8034784708984328</v>
      </c>
      <c r="H8" s="3">
        <f t="shared" si="1"/>
        <v>0.85857183978160989</v>
      </c>
      <c r="I8" s="3">
        <f t="shared" si="2"/>
        <v>-1.9559633924597783</v>
      </c>
      <c r="J8" s="3">
        <f t="shared" si="3"/>
        <v>1</v>
      </c>
      <c r="K8" s="4">
        <f>COUNTIF($C$5:C8,1)/$B$27</f>
        <v>0.33333333333333331</v>
      </c>
      <c r="L8" s="4">
        <f>COUNTIF($C$5:C8,0)/$B$28</f>
        <v>7.1428571428571425E-2</v>
      </c>
      <c r="M8" s="11">
        <f t="shared" ref="M8:N25" si="5">M7+0.05</f>
        <v>0.15000000000000002</v>
      </c>
      <c r="N8" s="11">
        <f t="shared" si="5"/>
        <v>0.15000000000000002</v>
      </c>
      <c r="O8" s="4">
        <f t="shared" si="4"/>
        <v>2.3809523809523808E-2</v>
      </c>
    </row>
    <row r="9" spans="1:15" x14ac:dyDescent="0.25">
      <c r="A9" s="3">
        <v>2</v>
      </c>
      <c r="B9" s="3" t="s">
        <v>5</v>
      </c>
      <c r="C9" s="3">
        <v>1</v>
      </c>
      <c r="D9" s="3">
        <v>49</v>
      </c>
      <c r="E9" s="3">
        <v>126</v>
      </c>
      <c r="F9" s="3">
        <v>0</v>
      </c>
      <c r="G9" s="4">
        <f t="shared" si="0"/>
        <v>0.33013192894666865</v>
      </c>
      <c r="H9" s="3">
        <f t="shared" si="1"/>
        <v>0.58179147684054267</v>
      </c>
      <c r="I9" s="3">
        <f t="shared" si="2"/>
        <v>-0.54164318266646128</v>
      </c>
      <c r="J9" s="3">
        <f t="shared" si="3"/>
        <v>1</v>
      </c>
      <c r="K9" s="4">
        <f>COUNTIF($C$5:C9,1)/$B$27</f>
        <v>0.5</v>
      </c>
      <c r="L9" s="4">
        <f>COUNTIF($C$5:C9,0)/$B$28</f>
        <v>7.1428571428571425E-2</v>
      </c>
      <c r="M9" s="11">
        <f t="shared" si="5"/>
        <v>0.2</v>
      </c>
      <c r="N9" s="11">
        <f t="shared" si="5"/>
        <v>0.2</v>
      </c>
      <c r="O9" s="4">
        <f t="shared" si="4"/>
        <v>0</v>
      </c>
    </row>
    <row r="10" spans="1:15" x14ac:dyDescent="0.25">
      <c r="A10" s="3">
        <v>14</v>
      </c>
      <c r="B10" s="3" t="s">
        <v>6</v>
      </c>
      <c r="C10" s="3">
        <v>0</v>
      </c>
      <c r="D10" s="3">
        <v>41</v>
      </c>
      <c r="E10" s="3">
        <v>153</v>
      </c>
      <c r="F10" s="3">
        <v>0</v>
      </c>
      <c r="G10" s="4">
        <f t="shared" si="0"/>
        <v>-0.38187464472346022</v>
      </c>
      <c r="H10" s="3">
        <f t="shared" si="1"/>
        <v>0.40567483523886599</v>
      </c>
      <c r="I10" s="3">
        <f t="shared" si="2"/>
        <v>-0.52032869397387238</v>
      </c>
      <c r="J10" s="3">
        <f t="shared" si="3"/>
        <v>0</v>
      </c>
      <c r="K10" s="4">
        <f>COUNTIF($C$5:C10,1)/$B$27</f>
        <v>0.5</v>
      </c>
      <c r="L10" s="4">
        <f>COUNTIF($C$5:C10,0)/$B$28</f>
        <v>0.14285714285714285</v>
      </c>
      <c r="M10" s="11">
        <f t="shared" si="5"/>
        <v>0.25</v>
      </c>
      <c r="N10" s="11">
        <f t="shared" si="5"/>
        <v>0.25</v>
      </c>
      <c r="O10" s="4">
        <f t="shared" si="4"/>
        <v>3.5714285714285712E-2</v>
      </c>
    </row>
    <row r="11" spans="1:15" x14ac:dyDescent="0.25">
      <c r="A11" s="3">
        <v>3</v>
      </c>
      <c r="B11" s="3" t="s">
        <v>5</v>
      </c>
      <c r="C11" s="3">
        <v>1</v>
      </c>
      <c r="D11" s="3">
        <v>46</v>
      </c>
      <c r="E11" s="3">
        <v>144</v>
      </c>
      <c r="F11" s="3">
        <v>0</v>
      </c>
      <c r="G11" s="4">
        <f t="shared" si="0"/>
        <v>-0.43777174137916219</v>
      </c>
      <c r="H11" s="3">
        <f t="shared" si="1"/>
        <v>0.39227204656970716</v>
      </c>
      <c r="I11" s="3">
        <f t="shared" si="2"/>
        <v>-0.93579968354448984</v>
      </c>
      <c r="J11" s="3">
        <f t="shared" si="3"/>
        <v>0</v>
      </c>
      <c r="K11" s="4">
        <f>COUNTIF($C$5:C11,1)/$B$27</f>
        <v>0.66666666666666663</v>
      </c>
      <c r="L11" s="4">
        <f>COUNTIF($C$5:C11,0)/$B$28</f>
        <v>0.14285714285714285</v>
      </c>
      <c r="M11" s="11">
        <f t="shared" si="5"/>
        <v>0.3</v>
      </c>
      <c r="N11" s="11">
        <f t="shared" si="5"/>
        <v>0.3</v>
      </c>
      <c r="O11" s="4">
        <f t="shared" si="4"/>
        <v>0</v>
      </c>
    </row>
    <row r="12" spans="1:15" x14ac:dyDescent="0.25">
      <c r="A12" s="3">
        <v>4</v>
      </c>
      <c r="B12" s="3" t="s">
        <v>5</v>
      </c>
      <c r="C12" s="3">
        <v>1</v>
      </c>
      <c r="D12" s="3">
        <v>49</v>
      </c>
      <c r="E12" s="3">
        <v>139</v>
      </c>
      <c r="F12" s="3">
        <v>0</v>
      </c>
      <c r="G12" s="4">
        <f t="shared" si="0"/>
        <v>-0.49675260027160917</v>
      </c>
      <c r="H12" s="3">
        <f t="shared" si="1"/>
        <v>0.3783041227244775</v>
      </c>
      <c r="I12" s="3">
        <f t="shared" si="2"/>
        <v>-0.97205684937325432</v>
      </c>
      <c r="J12" s="3">
        <f t="shared" si="3"/>
        <v>0</v>
      </c>
      <c r="K12" s="4">
        <f>COUNTIF($C$5:C12,1)/$B$27</f>
        <v>0.83333333333333337</v>
      </c>
      <c r="L12" s="4">
        <f>COUNTIF($C$5:C12,0)/$B$28</f>
        <v>0.14285714285714285</v>
      </c>
      <c r="M12" s="11">
        <f t="shared" si="5"/>
        <v>0.35</v>
      </c>
      <c r="N12" s="11">
        <f t="shared" si="5"/>
        <v>0.35</v>
      </c>
      <c r="O12" s="4">
        <f t="shared" si="4"/>
        <v>0</v>
      </c>
    </row>
    <row r="13" spans="1:15" x14ac:dyDescent="0.25">
      <c r="A13" s="3">
        <v>9</v>
      </c>
      <c r="B13" s="3" t="s">
        <v>6</v>
      </c>
      <c r="C13" s="3">
        <v>0</v>
      </c>
      <c r="D13" s="3">
        <v>47</v>
      </c>
      <c r="E13" s="3">
        <v>143</v>
      </c>
      <c r="F13" s="3">
        <v>0</v>
      </c>
      <c r="G13" s="4">
        <f t="shared" si="0"/>
        <v>-0.49983636250835062</v>
      </c>
      <c r="H13" s="3">
        <f t="shared" si="1"/>
        <v>0.37757912498667379</v>
      </c>
      <c r="I13" s="3">
        <f t="shared" si="2"/>
        <v>-0.4741387671345606</v>
      </c>
      <c r="J13" s="3">
        <f t="shared" si="3"/>
        <v>0</v>
      </c>
      <c r="K13" s="4">
        <f>COUNTIF($C$5:C13,1)/$B$27</f>
        <v>0.83333333333333337</v>
      </c>
      <c r="L13" s="4">
        <f>COUNTIF($C$5:C13,0)/$B$28</f>
        <v>0.21428571428571427</v>
      </c>
      <c r="M13" s="11">
        <f t="shared" si="5"/>
        <v>0.39999999999999997</v>
      </c>
      <c r="N13" s="11">
        <f t="shared" si="5"/>
        <v>0.39999999999999997</v>
      </c>
      <c r="O13" s="4">
        <f t="shared" si="4"/>
        <v>5.9523809523809521E-2</v>
      </c>
    </row>
    <row r="14" spans="1:15" x14ac:dyDescent="0.25">
      <c r="A14" s="3">
        <v>5</v>
      </c>
      <c r="B14" s="3" t="s">
        <v>5</v>
      </c>
      <c r="C14" s="3">
        <v>1</v>
      </c>
      <c r="D14" s="3">
        <v>62</v>
      </c>
      <c r="E14" s="3">
        <v>154</v>
      </c>
      <c r="F14" s="3">
        <v>1</v>
      </c>
      <c r="G14" s="4">
        <f t="shared" si="0"/>
        <v>-1.3055307336401438</v>
      </c>
      <c r="H14" s="3">
        <f t="shared" si="1"/>
        <v>0.21323567508685601</v>
      </c>
      <c r="I14" s="3">
        <f t="shared" si="2"/>
        <v>-1.5453572691369526</v>
      </c>
      <c r="J14" s="3">
        <f t="shared" si="3"/>
        <v>0</v>
      </c>
      <c r="K14" s="4">
        <f>COUNTIF($C$5:C14,1)/$B$27</f>
        <v>1</v>
      </c>
      <c r="L14" s="4">
        <f>COUNTIF($C$5:C14,0)/$B$28</f>
        <v>0.21428571428571427</v>
      </c>
      <c r="M14" s="11">
        <f t="shared" si="5"/>
        <v>0.44999999999999996</v>
      </c>
      <c r="N14" s="11">
        <f t="shared" si="5"/>
        <v>0.44999999999999996</v>
      </c>
      <c r="O14" s="4">
        <f t="shared" si="4"/>
        <v>0</v>
      </c>
    </row>
    <row r="15" spans="1:15" x14ac:dyDescent="0.25">
      <c r="A15" s="3">
        <v>17</v>
      </c>
      <c r="B15" s="3" t="s">
        <v>6</v>
      </c>
      <c r="C15" s="3">
        <v>0</v>
      </c>
      <c r="D15" s="3">
        <v>57</v>
      </c>
      <c r="E15" s="3">
        <v>168</v>
      </c>
      <c r="F15" s="3">
        <v>1</v>
      </c>
      <c r="G15" s="4">
        <f t="shared" si="0"/>
        <v>-1.5676661482222403</v>
      </c>
      <c r="H15" s="3">
        <f t="shared" si="1"/>
        <v>0.17254935532204835</v>
      </c>
      <c r="I15" s="3">
        <f t="shared" si="2"/>
        <v>-0.18940581740340079</v>
      </c>
      <c r="J15" s="3">
        <f t="shared" si="3"/>
        <v>0</v>
      </c>
      <c r="K15" s="4">
        <f>COUNTIF($C$5:C15,1)/$B$27</f>
        <v>1</v>
      </c>
      <c r="L15" s="4">
        <f>COUNTIF($C$5:C15,0)/$B$28</f>
        <v>0.2857142857142857</v>
      </c>
      <c r="M15" s="11">
        <f t="shared" si="5"/>
        <v>0.49999999999999994</v>
      </c>
      <c r="N15" s="11">
        <f t="shared" si="5"/>
        <v>0.49999999999999994</v>
      </c>
      <c r="O15" s="4">
        <f t="shared" si="4"/>
        <v>7.1428571428571425E-2</v>
      </c>
    </row>
    <row r="16" spans="1:15" x14ac:dyDescent="0.25">
      <c r="A16" s="3">
        <v>18</v>
      </c>
      <c r="B16" s="3" t="s">
        <v>6</v>
      </c>
      <c r="C16" s="3">
        <v>0</v>
      </c>
      <c r="D16" s="3">
        <v>50</v>
      </c>
      <c r="E16" s="3">
        <v>158</v>
      </c>
      <c r="F16" s="3">
        <v>0</v>
      </c>
      <c r="G16" s="4">
        <f t="shared" si="0"/>
        <v>-1.8309472663519948</v>
      </c>
      <c r="H16" s="3">
        <f t="shared" si="1"/>
        <v>0.13812546546331189</v>
      </c>
      <c r="I16" s="3">
        <f t="shared" si="2"/>
        <v>-0.14864557049367175</v>
      </c>
      <c r="J16" s="3">
        <f t="shared" si="3"/>
        <v>0</v>
      </c>
      <c r="K16" s="4">
        <f>COUNTIF($C$5:C16,1)/$B$27</f>
        <v>1</v>
      </c>
      <c r="L16" s="4">
        <f>COUNTIF($C$5:C16,0)/$B$28</f>
        <v>0.35714285714285715</v>
      </c>
      <c r="M16" s="11">
        <f t="shared" si="5"/>
        <v>0.54999999999999993</v>
      </c>
      <c r="N16" s="11">
        <f t="shared" si="5"/>
        <v>0.54999999999999993</v>
      </c>
      <c r="O16" s="4">
        <f t="shared" si="4"/>
        <v>7.1428571428571452E-2</v>
      </c>
    </row>
    <row r="17" spans="1:15" x14ac:dyDescent="0.25">
      <c r="A17" s="3">
        <v>19</v>
      </c>
      <c r="B17" s="3" t="s">
        <v>6</v>
      </c>
      <c r="C17" s="3">
        <v>0</v>
      </c>
      <c r="D17" s="3">
        <v>44</v>
      </c>
      <c r="E17" s="3">
        <v>170</v>
      </c>
      <c r="F17" s="3">
        <v>0</v>
      </c>
      <c r="G17" s="4">
        <f t="shared" si="0"/>
        <v>-1.8401985530622245</v>
      </c>
      <c r="H17" s="3">
        <f t="shared" si="1"/>
        <v>0.13702781174729498</v>
      </c>
      <c r="I17" s="3">
        <f t="shared" si="2"/>
        <v>-0.14737281523989879</v>
      </c>
      <c r="J17" s="3">
        <f t="shared" si="3"/>
        <v>0</v>
      </c>
      <c r="K17" s="4">
        <f>COUNTIF($C$5:C17,1)/$B$27</f>
        <v>1</v>
      </c>
      <c r="L17" s="4">
        <f>COUNTIF($C$5:C17,0)/$B$28</f>
        <v>0.42857142857142855</v>
      </c>
      <c r="M17" s="11">
        <f t="shared" si="5"/>
        <v>0.6</v>
      </c>
      <c r="N17" s="11">
        <f t="shared" si="5"/>
        <v>0.6</v>
      </c>
      <c r="O17" s="4">
        <f t="shared" si="4"/>
        <v>7.1428571428571397E-2</v>
      </c>
    </row>
    <row r="18" spans="1:15" x14ac:dyDescent="0.25">
      <c r="A18" s="3">
        <v>15</v>
      </c>
      <c r="B18" s="3" t="s">
        <v>6</v>
      </c>
      <c r="C18" s="3">
        <v>0</v>
      </c>
      <c r="D18" s="3">
        <v>54</v>
      </c>
      <c r="E18" s="3">
        <v>152</v>
      </c>
      <c r="F18" s="3">
        <v>0</v>
      </c>
      <c r="G18" s="4">
        <f t="shared" si="0"/>
        <v>-1.9519927463736284</v>
      </c>
      <c r="H18" s="3">
        <f t="shared" si="1"/>
        <v>0.12433623200235576</v>
      </c>
      <c r="I18" s="3">
        <f t="shared" si="2"/>
        <v>-0.13277308821269329</v>
      </c>
      <c r="J18" s="3">
        <f t="shared" si="3"/>
        <v>0</v>
      </c>
      <c r="K18" s="4">
        <f>COUNTIF($C$5:C18,1)/$B$27</f>
        <v>1</v>
      </c>
      <c r="L18" s="4">
        <f>COUNTIF($C$5:C18,0)/$B$28</f>
        <v>0.5</v>
      </c>
      <c r="M18" s="11">
        <f t="shared" si="5"/>
        <v>0.65</v>
      </c>
      <c r="N18" s="11">
        <f t="shared" si="5"/>
        <v>0.65</v>
      </c>
      <c r="O18" s="4">
        <f t="shared" si="4"/>
        <v>7.1428571428571452E-2</v>
      </c>
    </row>
    <row r="19" spans="1:15" x14ac:dyDescent="0.25">
      <c r="A19" s="3">
        <v>12</v>
      </c>
      <c r="B19" s="3" t="s">
        <v>6</v>
      </c>
      <c r="C19" s="3">
        <v>0</v>
      </c>
      <c r="D19" s="3">
        <v>59</v>
      </c>
      <c r="E19" s="3">
        <v>145</v>
      </c>
      <c r="F19" s="3">
        <v>0</v>
      </c>
      <c r="G19" s="4">
        <f t="shared" si="0"/>
        <v>-2.1351028475244505</v>
      </c>
      <c r="H19" s="3">
        <f t="shared" si="1"/>
        <v>0.10573153369881548</v>
      </c>
      <c r="I19" s="3">
        <f t="shared" si="2"/>
        <v>-0.11174925101295997</v>
      </c>
      <c r="J19" s="3">
        <f t="shared" si="3"/>
        <v>0</v>
      </c>
      <c r="K19" s="4">
        <f>COUNTIF($C$5:C19,1)/$B$27</f>
        <v>1</v>
      </c>
      <c r="L19" s="4">
        <f>COUNTIF($C$5:C19,0)/$B$28</f>
        <v>0.5714285714285714</v>
      </c>
      <c r="M19" s="11">
        <f t="shared" si="5"/>
        <v>0.70000000000000007</v>
      </c>
      <c r="N19" s="11">
        <f t="shared" si="5"/>
        <v>0.70000000000000007</v>
      </c>
      <c r="O19" s="4">
        <f t="shared" si="4"/>
        <v>7.1428571428571397E-2</v>
      </c>
    </row>
    <row r="20" spans="1:15" x14ac:dyDescent="0.25">
      <c r="A20" s="3">
        <v>13</v>
      </c>
      <c r="B20" s="3" t="s">
        <v>6</v>
      </c>
      <c r="C20" s="3">
        <v>0</v>
      </c>
      <c r="D20" s="3">
        <v>44</v>
      </c>
      <c r="E20" s="3">
        <v>175</v>
      </c>
      <c r="F20" s="3">
        <v>0</v>
      </c>
      <c r="G20" s="4">
        <f t="shared" si="0"/>
        <v>-2.1582310643000238</v>
      </c>
      <c r="H20" s="3">
        <f t="shared" si="1"/>
        <v>0.10356456245167141</v>
      </c>
      <c r="I20" s="3">
        <f t="shared" si="2"/>
        <v>-0.10932900465033678</v>
      </c>
      <c r="J20" s="3">
        <f t="shared" si="3"/>
        <v>0</v>
      </c>
      <c r="K20" s="4">
        <f>COUNTIF($C$5:C20,1)/$B$27</f>
        <v>1</v>
      </c>
      <c r="L20" s="4">
        <f>COUNTIF($C$5:C20,0)/$B$28</f>
        <v>0.6428571428571429</v>
      </c>
      <c r="M20" s="11">
        <f t="shared" si="5"/>
        <v>0.75000000000000011</v>
      </c>
      <c r="N20" s="11">
        <f t="shared" si="5"/>
        <v>0.75000000000000011</v>
      </c>
      <c r="O20" s="4">
        <f t="shared" si="4"/>
        <v>7.1428571428571508E-2</v>
      </c>
    </row>
    <row r="21" spans="1:15" x14ac:dyDescent="0.25">
      <c r="A21" s="3">
        <v>20</v>
      </c>
      <c r="B21" s="3" t="s">
        <v>6</v>
      </c>
      <c r="C21" s="3">
        <v>0</v>
      </c>
      <c r="D21" s="3">
        <v>49</v>
      </c>
      <c r="E21" s="3">
        <v>171</v>
      </c>
      <c r="F21" s="3">
        <v>0</v>
      </c>
      <c r="G21" s="4">
        <f t="shared" si="0"/>
        <v>-2.532160672193525</v>
      </c>
      <c r="H21" s="3">
        <f t="shared" si="1"/>
        <v>7.3634126680434953E-2</v>
      </c>
      <c r="I21" s="3">
        <f t="shared" si="2"/>
        <v>-7.6486010795777784E-2</v>
      </c>
      <c r="J21" s="3">
        <f t="shared" si="3"/>
        <v>0</v>
      </c>
      <c r="K21" s="4">
        <f>COUNTIF($C$5:C21,1)/$B$27</f>
        <v>1</v>
      </c>
      <c r="L21" s="4">
        <f>COUNTIF($C$5:C21,0)/$B$28</f>
        <v>0.7142857142857143</v>
      </c>
      <c r="M21" s="11">
        <f t="shared" si="5"/>
        <v>0.80000000000000016</v>
      </c>
      <c r="N21" s="11">
        <f t="shared" si="5"/>
        <v>0.80000000000000016</v>
      </c>
      <c r="O21" s="4">
        <f t="shared" si="4"/>
        <v>7.1428571428571397E-2</v>
      </c>
    </row>
    <row r="22" spans="1:15" x14ac:dyDescent="0.25">
      <c r="A22" s="3">
        <v>8</v>
      </c>
      <c r="B22" s="3" t="s">
        <v>6</v>
      </c>
      <c r="C22" s="3">
        <v>0</v>
      </c>
      <c r="D22" s="3">
        <v>65</v>
      </c>
      <c r="E22" s="3">
        <v>140</v>
      </c>
      <c r="F22" s="3">
        <v>0</v>
      </c>
      <c r="G22" s="4">
        <f t="shared" si="0"/>
        <v>-2.5710970765471401</v>
      </c>
      <c r="H22" s="3">
        <f t="shared" si="1"/>
        <v>7.1021887336833206E-2</v>
      </c>
      <c r="I22" s="3">
        <f t="shared" si="2"/>
        <v>-7.3670100550075987E-2</v>
      </c>
      <c r="J22" s="3">
        <f t="shared" si="3"/>
        <v>0</v>
      </c>
      <c r="K22" s="4">
        <f>COUNTIF($C$5:C22,1)/$B$27</f>
        <v>1</v>
      </c>
      <c r="L22" s="4">
        <f>COUNTIF($C$5:C22,0)/$B$28</f>
        <v>0.7857142857142857</v>
      </c>
      <c r="M22" s="11">
        <f t="shared" si="5"/>
        <v>0.8500000000000002</v>
      </c>
      <c r="N22" s="11">
        <f t="shared" si="5"/>
        <v>0.8500000000000002</v>
      </c>
      <c r="O22" s="4">
        <f t="shared" si="4"/>
        <v>7.1428571428571397E-2</v>
      </c>
    </row>
    <row r="23" spans="1:15" x14ac:dyDescent="0.25">
      <c r="A23" s="3">
        <v>16</v>
      </c>
      <c r="B23" s="3" t="s">
        <v>6</v>
      </c>
      <c r="C23" s="3">
        <v>0</v>
      </c>
      <c r="D23" s="3">
        <v>52</v>
      </c>
      <c r="E23" s="3">
        <v>169</v>
      </c>
      <c r="F23" s="3">
        <v>0</v>
      </c>
      <c r="G23" s="4">
        <f t="shared" si="0"/>
        <v>-2.7819610378286503</v>
      </c>
      <c r="H23" s="3">
        <f t="shared" si="1"/>
        <v>5.8306787318890226E-2</v>
      </c>
      <c r="I23" s="3">
        <f t="shared" si="2"/>
        <v>-6.0075734009233273E-2</v>
      </c>
      <c r="J23" s="3">
        <f t="shared" si="3"/>
        <v>0</v>
      </c>
      <c r="K23" s="4">
        <f>COUNTIF($C$5:C23,1)/$B$27</f>
        <v>1</v>
      </c>
      <c r="L23" s="4">
        <f>COUNTIF($C$5:C23,0)/$B$28</f>
        <v>0.8571428571428571</v>
      </c>
      <c r="M23" s="11">
        <f t="shared" si="5"/>
        <v>0.90000000000000024</v>
      </c>
      <c r="N23" s="11">
        <f t="shared" si="5"/>
        <v>0.90000000000000024</v>
      </c>
      <c r="O23" s="4">
        <f t="shared" si="4"/>
        <v>7.1428571428571397E-2</v>
      </c>
    </row>
    <row r="24" spans="1:15" x14ac:dyDescent="0.25">
      <c r="A24" s="3">
        <v>10</v>
      </c>
      <c r="B24" s="3" t="s">
        <v>6</v>
      </c>
      <c r="C24" s="3">
        <v>0</v>
      </c>
      <c r="D24" s="3">
        <v>58</v>
      </c>
      <c r="E24" s="3">
        <v>165</v>
      </c>
      <c r="F24" s="3">
        <v>0</v>
      </c>
      <c r="G24" s="4">
        <f t="shared" si="0"/>
        <v>-3.2815617690989001</v>
      </c>
      <c r="H24" s="3">
        <f t="shared" si="1"/>
        <v>3.6209174151821205E-2</v>
      </c>
      <c r="I24" s="3">
        <f t="shared" si="2"/>
        <v>-3.6880993551049575E-2</v>
      </c>
      <c r="J24" s="3">
        <f t="shared" si="3"/>
        <v>0</v>
      </c>
      <c r="K24" s="4">
        <f>COUNTIF($C$5:C24,1)/$B$27</f>
        <v>1</v>
      </c>
      <c r="L24" s="4">
        <f>COUNTIF($C$5:C24,0)/$B$28</f>
        <v>0.9285714285714286</v>
      </c>
      <c r="M24" s="11">
        <f t="shared" si="5"/>
        <v>0.95000000000000029</v>
      </c>
      <c r="N24" s="11">
        <f t="shared" si="5"/>
        <v>0.95000000000000029</v>
      </c>
      <c r="O24" s="4">
        <f t="shared" si="4"/>
        <v>7.1428571428571508E-2</v>
      </c>
    </row>
    <row r="25" spans="1:15" x14ac:dyDescent="0.25">
      <c r="A25" s="3">
        <v>7</v>
      </c>
      <c r="B25" s="3" t="s">
        <v>6</v>
      </c>
      <c r="C25" s="3">
        <v>0</v>
      </c>
      <c r="D25" s="3">
        <v>67</v>
      </c>
      <c r="E25" s="3">
        <v>160</v>
      </c>
      <c r="F25" s="3">
        <v>0</v>
      </c>
      <c r="G25" s="4">
        <f t="shared" si="0"/>
        <v>-4.0945693682518343</v>
      </c>
      <c r="H25" s="3">
        <f t="shared" si="1"/>
        <v>1.6389818087755074E-2</v>
      </c>
      <c r="I25" s="3">
        <f t="shared" si="2"/>
        <v>-1.6525617013884285E-2</v>
      </c>
      <c r="J25" s="3">
        <f t="shared" si="3"/>
        <v>0</v>
      </c>
      <c r="K25" s="4">
        <f>COUNTIF($C$5:C25,1)/$B$27</f>
        <v>1</v>
      </c>
      <c r="L25" s="4">
        <f>COUNTIF($C$5:C25,0)/$B$28</f>
        <v>1</v>
      </c>
      <c r="M25" s="11">
        <f t="shared" si="5"/>
        <v>1.0000000000000002</v>
      </c>
      <c r="N25" s="11">
        <f t="shared" si="5"/>
        <v>1.0000000000000002</v>
      </c>
      <c r="O25" s="4">
        <f t="shared" si="4"/>
        <v>7.1428571428571397E-2</v>
      </c>
    </row>
    <row r="27" spans="1:15" x14ac:dyDescent="0.25">
      <c r="A27" s="3" t="s">
        <v>18</v>
      </c>
      <c r="B27" s="3">
        <v>6</v>
      </c>
      <c r="H27" s="2" t="s">
        <v>37</v>
      </c>
      <c r="I27">
        <f>-2*SUM(I6:I25)</f>
        <v>16.617689923368587</v>
      </c>
      <c r="N27" t="s">
        <v>26</v>
      </c>
      <c r="O27" s="1">
        <f>SUM(O5:O25)</f>
        <v>0.90476190476190477</v>
      </c>
    </row>
    <row r="28" spans="1:15" x14ac:dyDescent="0.25">
      <c r="A28" s="3" t="s">
        <v>19</v>
      </c>
      <c r="B28" s="3">
        <v>14</v>
      </c>
    </row>
    <row r="34" spans="12:12" x14ac:dyDescent="0.25">
      <c r="L34">
        <f>1/20</f>
        <v>0.05</v>
      </c>
    </row>
  </sheetData>
  <sortState xmlns:xlrd2="http://schemas.microsoft.com/office/spreadsheetml/2017/richdata2" ref="A5:J24">
    <sortCondition descending="1" ref="H5:H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estimation</vt:lpstr>
      <vt:lpstr>confusions</vt:lpstr>
      <vt:lpstr>courbe_roc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2020-12-04T11:43:16Z</dcterms:modified>
</cp:coreProperties>
</file>